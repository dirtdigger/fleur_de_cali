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Post-print worksheet" sheetId="2" r:id="rId5"/>
    <sheet state="visible" name="Fixing your printer" sheetId="3" r:id="rId6"/>
    <sheet state="visible" name="Helper" sheetId="4" r:id="rId7"/>
  </sheets>
  <definedNames/>
  <calcPr/>
</workbook>
</file>

<file path=xl/sharedStrings.xml><?xml version="1.0" encoding="utf-8"?>
<sst xmlns="http://schemas.openxmlformats.org/spreadsheetml/2006/main" count="78" uniqueCount="74">
  <si>
    <t>Before you start, fill out this information below</t>
  </si>
  <si>
    <t>Scale</t>
  </si>
  <si>
    <t>How big did you scale the model before printing?</t>
  </si>
  <si>
    <t>X E-steps</t>
  </si>
  <si>
    <t>Your printer's current E-steps (M503), or rotation_distance in Klipper printer.cfg</t>
  </si>
  <si>
    <t>Y E-steps</t>
  </si>
  <si>
    <t>Caliper error (mm)</t>
  </si>
  <si>
    <t>How precise your calipers are. Note: digital calipers, even though they read to the nearest 0.01mm, are often only actually accurate to 0.02mm</t>
  </si>
  <si>
    <t>Use sample error</t>
  </si>
  <si>
    <t>Whether or not you want to use the measurements in the estimate of error, or just the caliper error you inputted above. You'll probably get smaller error estimates here, but they will likely be smaller than they actually are</t>
  </si>
  <si>
    <t>Your measurements</t>
  </si>
  <si>
    <t>Measurement location</t>
  </si>
  <si>
    <t>Measurement 1</t>
  </si>
  <si>
    <t>Measurement 2</t>
  </si>
  <si>
    <t>Measurement 3</t>
  </si>
  <si>
    <t>Average</t>
  </si>
  <si>
    <t>Expected input</t>
  </si>
  <si>
    <t>Green means within 0.5mm of expected input (does not mean your printer is calibrated!!)</t>
  </si>
  <si>
    <t>Yellow means your measurement is more than 0.5mm and less than 1mm of the expected input. Please double check your measurement</t>
  </si>
  <si>
    <t>Your measurement is more than 1mm away from expected input. Did you scale the model and forget to update the scale factor on intro sheet?</t>
  </si>
  <si>
    <t>Results</t>
  </si>
  <si>
    <t>Dimensional correctness</t>
  </si>
  <si>
    <t>Error</t>
  </si>
  <si>
    <t>1-sigma Error</t>
  </si>
  <si>
    <t>Correction</t>
  </si>
  <si>
    <t>Key</t>
  </si>
  <si>
    <t>X</t>
  </si>
  <si>
    <t>Your printer is calibrated to within one standard deviation. Hooray!</t>
  </si>
  <si>
    <t>Y</t>
  </si>
  <si>
    <t>Your printer is calibrated to within two standard deviations. Not bad!</t>
  </si>
  <si>
    <t>Skew angle</t>
  </si>
  <si>
    <t xml:space="preserve">Your printer is calibrated to within three standard deviations. You </t>
  </si>
  <si>
    <t>Measured</t>
  </si>
  <si>
    <t>may still be able to do some adjustments</t>
  </si>
  <si>
    <t>Angle of parallelogram</t>
  </si>
  <si>
    <t>Your printer is not yet calibrated</t>
  </si>
  <si>
    <t>Skew</t>
  </si>
  <si>
    <t>Note: you may see a lot of #DIV/0! before you fill out your measurements. That's OK!</t>
  </si>
  <si>
    <t>Calibrating your printer</t>
  </si>
  <si>
    <t>Klipper</t>
  </si>
  <si>
    <t>Marlin</t>
  </si>
  <si>
    <r>
      <rPr/>
      <t xml:space="preserve">See the Klipper documentation for details. </t>
    </r>
    <r>
      <rPr>
        <color rgb="FF56A3F1"/>
        <u/>
      </rPr>
      <t>https://www.klipper3d.org/Skew_Correction.html?q=</t>
    </r>
  </si>
  <si>
    <t>In a console, paste the following:</t>
  </si>
  <si>
    <t>For your printer, use</t>
  </si>
  <si>
    <t>You should see "Recv. ok"</t>
  </si>
  <si>
    <t>Then type M500 in your console to save the settings</t>
  </si>
  <si>
    <t>Skew compensation coming soon!</t>
  </si>
  <si>
    <t>In your printer.cfg, adjust</t>
  </si>
  <si>
    <t>rotation_distance:</t>
  </si>
  <si>
    <t>in [stepper_x]</t>
  </si>
  <si>
    <t>in [stepper_y]</t>
  </si>
  <si>
    <t>Just some math to do the skew calculation and error propagations</t>
  </si>
  <si>
    <t>Number of measurements</t>
  </si>
  <si>
    <t>Sampe stdev</t>
  </si>
  <si>
    <t>Estimated error</t>
  </si>
  <si>
    <t>Uncertainty propagation for skew</t>
  </si>
  <si>
    <t>Uncertainty propagation for x/y scaling</t>
  </si>
  <si>
    <t>Value</t>
  </si>
  <si>
    <t>sigma</t>
  </si>
  <si>
    <t>Gradient</t>
  </si>
  <si>
    <t>sigma*Grad</t>
  </si>
  <si>
    <t>grad_x</t>
  </si>
  <si>
    <t>sigma*grad</t>
  </si>
  <si>
    <t>p</t>
  </si>
  <si>
    <t>q</t>
  </si>
  <si>
    <t>a</t>
  </si>
  <si>
    <t>b</t>
  </si>
  <si>
    <t>cos(angle)</t>
  </si>
  <si>
    <t>x calib error</t>
  </si>
  <si>
    <t>angle</t>
  </si>
  <si>
    <t>grad_y</t>
  </si>
  <si>
    <t>skew</t>
  </si>
  <si>
    <t>skew standard deviation</t>
  </si>
  <si>
    <t>y calib error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</si>
</sst>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0"/>
    <numFmt numFmtId="165" formatCode="0.0000000"/>
  </numFmts>
  <fonts count="5">
    <font>
      <sz val="10.0"/>
      <color rgb="FF000000"/>
      <name val="Arial"/>
      <scheme val="minor"/>
    </font>
    <font>
      <color theme="1"/>
      <name val="Arial"/>
      <scheme val="minor"/>
    </font>
    <font>
      <color rgb="FFFFFFFF"/>
      <name val="Arial"/>
      <scheme val="minor"/>
    </font>
    <font>
      <u/>
      <color rgb="FF0000FF"/>
    </font>
    <font>
      <sz val="9.0"/>
      <color rgb="FF7E3794"/>
      <name val="Arial"/>
      <scheme val="minor"/>
    </font>
  </fonts>
  <fills count="6">
    <fill>
      <patternFill patternType="none"/>
    </fill>
    <fill>
      <patternFill patternType="lightGray"/>
    </fill>
    <fill>
      <patternFill patternType="solid">
        <fgColor rgb="FFB7E1CD"/>
        <bgColor rgb="FFB7E1CD"/>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2" xfId="0" applyFont="1" applyNumberFormat="1"/>
    <xf borderId="0" fillId="0" fontId="1" numFmtId="4" xfId="0" applyAlignment="1" applyFont="1" applyNumberFormat="1">
      <alignment readingOrder="0"/>
    </xf>
    <xf borderId="0" fillId="2" fontId="1" numFmtId="0" xfId="0" applyAlignment="1" applyFill="1" applyFont="1">
      <alignment readingOrder="0"/>
    </xf>
    <xf borderId="0" fillId="2" fontId="1" numFmtId="0" xfId="0" applyFont="1"/>
    <xf borderId="0" fillId="3" fontId="1" numFmtId="0" xfId="0" applyAlignment="1" applyFill="1" applyFont="1">
      <alignment readingOrder="0"/>
    </xf>
    <xf borderId="0" fillId="3" fontId="1" numFmtId="0" xfId="0" applyFont="1"/>
    <xf borderId="0" fillId="4" fontId="2" numFmtId="0" xfId="0" applyAlignment="1" applyFill="1" applyFont="1">
      <alignment readingOrder="0"/>
    </xf>
    <xf borderId="0" fillId="4" fontId="2" numFmtId="0" xfId="0" applyFont="1"/>
    <xf borderId="1"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xf>
    <xf borderId="5" fillId="0" fontId="1" numFmtId="0" xfId="0" applyAlignment="1" applyBorder="1" applyFont="1">
      <alignment readingOrder="0"/>
    </xf>
    <xf borderId="0" fillId="0" fontId="1" numFmtId="10" xfId="0" applyFont="1" applyNumberFormat="1"/>
    <xf borderId="4" fillId="0" fontId="1" numFmtId="0" xfId="0" applyBorder="1" applyFont="1"/>
    <xf borderId="1" fillId="0" fontId="1" numFmtId="164" xfId="0" applyAlignment="1" applyBorder="1" applyFont="1" applyNumberFormat="1">
      <alignment readingOrder="0"/>
    </xf>
    <xf borderId="3" fillId="0" fontId="1" numFmtId="10" xfId="0" applyBorder="1" applyFont="1" applyNumberFormat="1"/>
    <xf borderId="5" fillId="0" fontId="1" numFmtId="10" xfId="0" applyBorder="1" applyFont="1" applyNumberFormat="1"/>
    <xf borderId="4" fillId="2" fontId="1" numFmtId="0" xfId="0" applyAlignment="1" applyBorder="1" applyFont="1">
      <alignment readingOrder="0"/>
    </xf>
    <xf borderId="5" fillId="2" fontId="1" numFmtId="10" xfId="0" applyBorder="1" applyFont="1" applyNumberFormat="1"/>
    <xf borderId="4" fillId="3" fontId="1" numFmtId="0" xfId="0" applyAlignment="1" applyBorder="1" applyFont="1">
      <alignment readingOrder="0"/>
    </xf>
    <xf borderId="5" fillId="3" fontId="1" numFmtId="0" xfId="0" applyBorder="1" applyFont="1"/>
    <xf borderId="5" fillId="0" fontId="1" numFmtId="0" xfId="0" applyBorder="1" applyFont="1"/>
    <xf borderId="4" fillId="5" fontId="1" numFmtId="0" xfId="0" applyAlignment="1" applyBorder="1" applyFill="1" applyFont="1">
      <alignment readingOrder="0"/>
    </xf>
    <xf borderId="0" fillId="5" fontId="1" numFmtId="0" xfId="0" applyFont="1"/>
    <xf borderId="5" fillId="5" fontId="1" numFmtId="0" xfId="0" applyBorder="1" applyFont="1"/>
    <xf borderId="4" fillId="5" fontId="1" numFmtId="0" xfId="0" applyBorder="1" applyFont="1"/>
    <xf borderId="0" fillId="5" fontId="1" numFmtId="0" xfId="0" applyAlignment="1" applyFont="1">
      <alignment readingOrder="0"/>
    </xf>
    <xf borderId="5" fillId="5" fontId="1" numFmtId="4" xfId="0" applyAlignment="1" applyBorder="1" applyFont="1" applyNumberFormat="1">
      <alignment readingOrder="0"/>
    </xf>
    <xf borderId="0" fillId="0" fontId="1" numFmtId="4" xfId="0" applyFont="1" applyNumberFormat="1"/>
    <xf borderId="5" fillId="0" fontId="1" numFmtId="4" xfId="0" applyBorder="1" applyFont="1" applyNumberFormat="1"/>
    <xf borderId="6" fillId="4" fontId="2" numFmtId="0" xfId="0" applyAlignment="1" applyBorder="1" applyFont="1">
      <alignment readingOrder="0"/>
    </xf>
    <xf borderId="7" fillId="4" fontId="1" numFmtId="0" xfId="0" applyBorder="1" applyFont="1"/>
    <xf borderId="8" fillId="4" fontId="1" numFmtId="0" xfId="0" applyBorder="1" applyFont="1"/>
    <xf borderId="6" fillId="0" fontId="1" numFmtId="0" xfId="0" applyAlignment="1" applyBorder="1" applyFont="1">
      <alignment readingOrder="0"/>
    </xf>
    <xf borderId="7" fillId="0" fontId="1" numFmtId="4" xfId="0" applyBorder="1" applyFont="1" applyNumberFormat="1"/>
    <xf borderId="8" fillId="0" fontId="1" numFmtId="4" xfId="0" applyBorder="1" applyFont="1" applyNumberFormat="1"/>
    <xf borderId="1" fillId="0" fontId="1" numFmtId="4" xfId="0" applyAlignment="1" applyBorder="1" applyFont="1" applyNumberFormat="1">
      <alignment readingOrder="0"/>
    </xf>
    <xf borderId="2" fillId="0" fontId="1" numFmtId="0" xfId="0" applyAlignment="1" applyBorder="1" applyFont="1">
      <alignment readingOrder="0"/>
    </xf>
    <xf borderId="4" fillId="0" fontId="3" numFmtId="4" xfId="0" applyAlignment="1" applyBorder="1" applyFont="1" applyNumberFormat="1">
      <alignment readingOrder="0"/>
    </xf>
    <xf borderId="4" fillId="0" fontId="1" numFmtId="4" xfId="0" applyAlignment="1" applyBorder="1" applyFont="1" applyNumberFormat="1">
      <alignment readingOrder="0"/>
    </xf>
    <xf borderId="4" fillId="0" fontId="1" numFmtId="4" xfId="0" applyBorder="1" applyFont="1" applyNumberFormat="1"/>
    <xf borderId="7" fillId="0" fontId="1" numFmtId="0" xfId="0" applyBorder="1" applyFont="1"/>
    <xf borderId="7" fillId="0" fontId="1" numFmtId="0" xfId="0" applyAlignment="1" applyBorder="1" applyFont="1">
      <alignment readingOrder="0"/>
    </xf>
    <xf borderId="8" fillId="0" fontId="1" numFmtId="0" xfId="0" applyBorder="1" applyFont="1"/>
    <xf borderId="6" fillId="0" fontId="1" numFmtId="0" xfId="0" applyBorder="1" applyFont="1"/>
    <xf borderId="0" fillId="0" fontId="4" numFmtId="0" xfId="0" applyAlignment="1" applyFont="1">
      <alignment readingOrder="0"/>
    </xf>
    <xf borderId="0" fillId="0" fontId="1" numFmtId="164" xfId="0" applyFont="1" applyNumberFormat="1"/>
    <xf borderId="0" fillId="0" fontId="1" numFmtId="165" xfId="0" applyFont="1" applyNumberFormat="1"/>
    <xf borderId="0" fillId="0" fontId="1" numFmtId="165" xfId="0" applyAlignment="1" applyFont="1" applyNumberForma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F9900"/>
          <bgColor rgb="FFFF9900"/>
        </patternFill>
      </fill>
      <border/>
    </dxf>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9525</xdr:rowOff>
    </xdr:from>
    <xdr:ext cx="5210175" cy="512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lipper3d.org/Skew_Correction.html?q="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3" max="3" width="162.25"/>
  </cols>
  <sheetData>
    <row r="1">
      <c r="A1" s="1" t="s">
        <v>0</v>
      </c>
    </row>
    <row r="3">
      <c r="A3" s="1" t="s">
        <v>1</v>
      </c>
      <c r="B3" s="1">
        <v>1.0</v>
      </c>
      <c r="C3" s="1" t="s">
        <v>2</v>
      </c>
    </row>
    <row r="4">
      <c r="A4" s="1" t="s">
        <v>3</v>
      </c>
      <c r="B4" s="1">
        <v>40.0</v>
      </c>
      <c r="C4" s="1" t="s">
        <v>4</v>
      </c>
    </row>
    <row r="5">
      <c r="A5" s="1" t="s">
        <v>5</v>
      </c>
      <c r="B5" s="1">
        <v>40.0</v>
      </c>
      <c r="C5" s="1" t="s">
        <v>4</v>
      </c>
    </row>
    <row r="6">
      <c r="A6" s="1" t="s">
        <v>6</v>
      </c>
      <c r="B6" s="1">
        <v>0.01</v>
      </c>
      <c r="C6" s="1" t="s">
        <v>7</v>
      </c>
    </row>
    <row r="7">
      <c r="A7" s="1" t="s">
        <v>8</v>
      </c>
      <c r="B7" s="1" t="b">
        <v>1</v>
      </c>
      <c r="C7"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s>
  <sheetData>
    <row r="1">
      <c r="A1" s="1" t="s">
        <v>10</v>
      </c>
      <c r="C1" s="1"/>
      <c r="D1" s="1"/>
      <c r="E1" s="1"/>
    </row>
    <row r="2">
      <c r="B2" s="1"/>
      <c r="C2" s="1"/>
      <c r="D2" s="1"/>
      <c r="E2" s="1"/>
    </row>
    <row r="3">
      <c r="A3" s="1" t="s">
        <v>11</v>
      </c>
      <c r="B3" s="1" t="s">
        <v>12</v>
      </c>
      <c r="C3" s="1" t="s">
        <v>13</v>
      </c>
      <c r="D3" s="1" t="s">
        <v>14</v>
      </c>
      <c r="E3" s="1" t="s">
        <v>15</v>
      </c>
      <c r="F3" s="1" t="s">
        <v>16</v>
      </c>
    </row>
    <row r="4">
      <c r="A4" s="1">
        <v>1.0</v>
      </c>
      <c r="B4" s="2"/>
      <c r="C4" s="2"/>
      <c r="D4" s="2"/>
      <c r="E4" s="3" t="str">
        <f t="shared" ref="E4:E13" si="1">AVERAGE(B4:D4)</f>
        <v>#DIV/0!</v>
      </c>
      <c r="F4" s="4">
        <f>100*Intro!$B$3</f>
        <v>100</v>
      </c>
    </row>
    <row r="5">
      <c r="A5" s="1">
        <v>2.0</v>
      </c>
      <c r="B5" s="2"/>
      <c r="C5" s="2"/>
      <c r="D5" s="2"/>
      <c r="E5" s="3" t="str">
        <f t="shared" si="1"/>
        <v>#DIV/0!</v>
      </c>
      <c r="F5" s="4">
        <f>Intro!$B$3*50</f>
        <v>50</v>
      </c>
    </row>
    <row r="6">
      <c r="A6" s="1">
        <v>3.0</v>
      </c>
      <c r="B6" s="2"/>
      <c r="C6" s="2"/>
      <c r="D6" s="2"/>
      <c r="E6" s="3" t="str">
        <f t="shared" si="1"/>
        <v>#DIV/0!</v>
      </c>
      <c r="F6" s="4">
        <f>100*Intro!$B$3</f>
        <v>100</v>
      </c>
    </row>
    <row r="7">
      <c r="A7" s="1">
        <v>4.0</v>
      </c>
      <c r="B7" s="2"/>
      <c r="C7" s="2"/>
      <c r="D7" s="2"/>
      <c r="E7" s="3" t="str">
        <f t="shared" si="1"/>
        <v>#DIV/0!</v>
      </c>
      <c r="F7" s="4">
        <f>Intro!$B$3*50</f>
        <v>50</v>
      </c>
    </row>
    <row r="8">
      <c r="A8" s="1">
        <v>5.0</v>
      </c>
      <c r="B8" s="2"/>
      <c r="C8" s="2"/>
      <c r="D8" s="2"/>
      <c r="E8" s="3" t="str">
        <f t="shared" si="1"/>
        <v>#DIV/0!</v>
      </c>
      <c r="F8" s="4">
        <f>100*Intro!$B$3</f>
        <v>100</v>
      </c>
    </row>
    <row r="9">
      <c r="A9" s="1">
        <v>6.0</v>
      </c>
      <c r="B9" s="2"/>
      <c r="C9" s="2"/>
      <c r="D9" s="2"/>
      <c r="E9" s="3" t="str">
        <f t="shared" si="1"/>
        <v>#DIV/0!</v>
      </c>
      <c r="F9" s="4">
        <f>Intro!$B$3*50</f>
        <v>50</v>
      </c>
    </row>
    <row r="10">
      <c r="A10" s="1">
        <v>7.0</v>
      </c>
      <c r="B10" s="2"/>
      <c r="C10" s="2"/>
      <c r="D10" s="2"/>
      <c r="E10" s="3" t="str">
        <f t="shared" si="1"/>
        <v>#DIV/0!</v>
      </c>
      <c r="F10" s="4">
        <f>100*Intro!$B$3</f>
        <v>100</v>
      </c>
    </row>
    <row r="11">
      <c r="A11" s="1">
        <v>8.0</v>
      </c>
      <c r="B11" s="2"/>
      <c r="C11" s="2"/>
      <c r="D11" s="2"/>
      <c r="E11" s="3" t="str">
        <f t="shared" si="1"/>
        <v>#DIV/0!</v>
      </c>
      <c r="F11" s="4">
        <f>Intro!$B$3*50</f>
        <v>50</v>
      </c>
    </row>
    <row r="12">
      <c r="A12" s="1">
        <v>9.0</v>
      </c>
      <c r="B12" s="2"/>
      <c r="C12" s="2"/>
      <c r="D12" s="2"/>
      <c r="E12" s="3" t="str">
        <f t="shared" si="1"/>
        <v>#DIV/0!</v>
      </c>
      <c r="F12" s="4">
        <f>100*Intro!$B$3</f>
        <v>100</v>
      </c>
    </row>
    <row r="13">
      <c r="A13" s="1">
        <v>10.0</v>
      </c>
      <c r="B13" s="2"/>
      <c r="C13" s="4"/>
      <c r="D13" s="4"/>
      <c r="E13" s="3" t="str">
        <f t="shared" si="1"/>
        <v>#DIV/0!</v>
      </c>
      <c r="F13" s="4">
        <f>100*Intro!$B$3</f>
        <v>100</v>
      </c>
    </row>
    <row r="15">
      <c r="B15" s="5" t="s">
        <v>17</v>
      </c>
      <c r="C15" s="6"/>
      <c r="D15" s="6"/>
      <c r="E15" s="6"/>
      <c r="F15" s="6"/>
      <c r="G15" s="6"/>
      <c r="H15" s="6"/>
      <c r="I15" s="6"/>
    </row>
    <row r="16">
      <c r="B16" s="7" t="s">
        <v>18</v>
      </c>
      <c r="C16" s="8"/>
      <c r="D16" s="8"/>
      <c r="E16" s="8"/>
      <c r="F16" s="8"/>
      <c r="G16" s="8"/>
      <c r="H16" s="8"/>
      <c r="I16" s="8"/>
    </row>
    <row r="17">
      <c r="B17" s="9" t="s">
        <v>19</v>
      </c>
      <c r="C17" s="10"/>
      <c r="D17" s="10"/>
      <c r="E17" s="10"/>
      <c r="F17" s="10"/>
      <c r="G17" s="10"/>
      <c r="H17" s="10"/>
      <c r="I17" s="10"/>
    </row>
    <row r="18">
      <c r="A18" s="1"/>
    </row>
    <row r="19">
      <c r="A19" s="11" t="s">
        <v>20</v>
      </c>
      <c r="B19" s="12"/>
      <c r="C19" s="12"/>
      <c r="D19" s="13"/>
    </row>
    <row r="20">
      <c r="A20" s="14" t="s">
        <v>21</v>
      </c>
      <c r="B20" s="1"/>
      <c r="C20" s="1"/>
      <c r="D20" s="15"/>
      <c r="U20" s="16"/>
      <c r="V20" s="16"/>
    </row>
    <row r="21">
      <c r="A21" s="17"/>
      <c r="B21" s="1" t="s">
        <v>22</v>
      </c>
      <c r="C21" s="1" t="s">
        <v>23</v>
      </c>
      <c r="D21" s="15" t="s">
        <v>24</v>
      </c>
      <c r="F21" s="18" t="s">
        <v>25</v>
      </c>
      <c r="G21" s="12"/>
      <c r="H21" s="12"/>
      <c r="I21" s="19"/>
      <c r="U21" s="16"/>
      <c r="V21" s="16"/>
    </row>
    <row r="22">
      <c r="A22" s="14" t="s">
        <v>26</v>
      </c>
      <c r="B22" s="16" t="str">
        <f>((E4-F4)/F4 + (E5-F5)/F5 + (E6-F6)/F6 + (E7-F7)/F7)/(4)</f>
        <v>#DIV/0!</v>
      </c>
      <c r="C22" s="16">
        <f>Helper!H22</f>
        <v>0.00002635231383</v>
      </c>
      <c r="D22" s="20" t="str">
        <f t="shared" ref="D22:D23" si="2">-B22</f>
        <v>#DIV/0!</v>
      </c>
      <c r="F22" s="21" t="s">
        <v>27</v>
      </c>
      <c r="G22" s="6"/>
      <c r="H22" s="6"/>
      <c r="I22" s="22"/>
      <c r="J22" s="16"/>
      <c r="M22" s="16"/>
      <c r="N22" s="16"/>
      <c r="U22" s="16"/>
      <c r="V22" s="16"/>
    </row>
    <row r="23">
      <c r="A23" s="14" t="s">
        <v>28</v>
      </c>
      <c r="B23" s="16" t="str">
        <f>((E8-F8)/F8 + (E9-F9)/F9 + (E10-F10)/F10 + (E11-F11)/F11)/(4)</f>
        <v>#DIV/0!</v>
      </c>
      <c r="C23" s="16">
        <f>Helper!H28</f>
        <v>0.00002635231383</v>
      </c>
      <c r="D23" s="20" t="str">
        <f t="shared" si="2"/>
        <v>#DIV/0!</v>
      </c>
      <c r="F23" s="23" t="s">
        <v>29</v>
      </c>
      <c r="G23" s="8"/>
      <c r="H23" s="8"/>
      <c r="I23" s="24"/>
      <c r="J23" s="16"/>
      <c r="M23" s="16"/>
      <c r="N23" s="16"/>
    </row>
    <row r="24">
      <c r="A24" s="14" t="s">
        <v>30</v>
      </c>
      <c r="D24" s="25"/>
      <c r="F24" s="26" t="s">
        <v>31</v>
      </c>
      <c r="G24" s="27"/>
      <c r="H24" s="27"/>
      <c r="I24" s="28"/>
    </row>
    <row r="25">
      <c r="A25" s="14"/>
      <c r="B25" s="1" t="s">
        <v>32</v>
      </c>
      <c r="C25" s="1" t="s">
        <v>23</v>
      </c>
      <c r="D25" s="15" t="s">
        <v>24</v>
      </c>
      <c r="F25" s="29"/>
      <c r="G25" s="30" t="s">
        <v>33</v>
      </c>
      <c r="H25" s="27"/>
      <c r="I25" s="31"/>
      <c r="U25" s="4"/>
      <c r="V25" s="32"/>
    </row>
    <row r="26">
      <c r="A26" s="14" t="s">
        <v>34</v>
      </c>
      <c r="B26" s="4" t="str">
        <f>ACOS(((E12^2-E13^2)/(4*2*50*50*Intro!B3*Intro!B3*SUM(E4:E7)/300*SUM(E8:E11)/300)))*180/PI()</f>
        <v>#DIV/0!</v>
      </c>
      <c r="C26" s="32" t="str">
        <f>Helper!B25</f>
        <v>#DIV/0!</v>
      </c>
      <c r="D26" s="33"/>
      <c r="F26" s="34" t="s">
        <v>35</v>
      </c>
      <c r="G26" s="35"/>
      <c r="H26" s="35"/>
      <c r="I26" s="36"/>
      <c r="J26" s="32"/>
      <c r="M26" s="4"/>
      <c r="N26" s="32"/>
      <c r="Q26" s="4"/>
      <c r="R26" s="4"/>
      <c r="U26" s="32"/>
      <c r="V26" s="32"/>
    </row>
    <row r="27">
      <c r="A27" s="37" t="s">
        <v>36</v>
      </c>
      <c r="B27" s="38" t="str">
        <f>B26-90</f>
        <v>#DIV/0!</v>
      </c>
      <c r="C27" s="38" t="str">
        <f>Helper!B25</f>
        <v>#DIV/0!</v>
      </c>
      <c r="D27" s="39" t="str">
        <f>-B27</f>
        <v>#DIV/0!</v>
      </c>
      <c r="I27" s="32"/>
      <c r="J27" s="32"/>
      <c r="M27" s="32"/>
      <c r="N27" s="32"/>
      <c r="Q27" s="32"/>
      <c r="R27" s="32"/>
    </row>
    <row r="30">
      <c r="A30" s="1" t="s">
        <v>37</v>
      </c>
    </row>
  </sheetData>
  <conditionalFormatting sqref="B22:D23">
    <cfRule type="expression" dxfId="0" priority="1">
      <formula>ABS($B22)/$C22&lt;=1</formula>
    </cfRule>
  </conditionalFormatting>
  <conditionalFormatting sqref="B22:D23">
    <cfRule type="expression" dxfId="1" priority="2">
      <formula>ABS($B22)/$C22&lt;=2</formula>
    </cfRule>
  </conditionalFormatting>
  <conditionalFormatting sqref="B22:D23">
    <cfRule type="expression" dxfId="2" priority="3">
      <formula>ABS($B22)/$C22&lt;=3</formula>
    </cfRule>
  </conditionalFormatting>
  <conditionalFormatting sqref="B22:D23">
    <cfRule type="expression" dxfId="3" priority="4">
      <formula>ABS($B22)/$C22&gt;3</formula>
    </cfRule>
  </conditionalFormatting>
  <conditionalFormatting sqref="B4:D13">
    <cfRule type="expression" dxfId="0" priority="5">
      <formula>ABS(B4-$F4)&lt;=0.5</formula>
    </cfRule>
  </conditionalFormatting>
  <conditionalFormatting sqref="B4:D13">
    <cfRule type="expression" dxfId="1" priority="6">
      <formula>ABS(B4-$F4)&lt;=1</formula>
    </cfRule>
  </conditionalFormatting>
  <conditionalFormatting sqref="B4:D13">
    <cfRule type="expression" dxfId="3" priority="7">
      <formula>ABS(B4-$F4)&gt;1</formula>
    </cfRule>
  </conditionalFormatting>
  <conditionalFormatting sqref="B26:D27">
    <cfRule type="expression" dxfId="0" priority="8">
      <formula>ABS($B$26-90)/$C$26&lt;=1</formula>
    </cfRule>
  </conditionalFormatting>
  <conditionalFormatting sqref="B26:D27">
    <cfRule type="expression" dxfId="1" priority="9">
      <formula>ABS($B$26-90)/$C$26&lt;=2</formula>
    </cfRule>
  </conditionalFormatting>
  <conditionalFormatting sqref="B26:D27">
    <cfRule type="expression" dxfId="2" priority="10">
      <formula>ABS($B$26-90)/$C$26&lt;=3</formula>
    </cfRule>
  </conditionalFormatting>
  <conditionalFormatting sqref="B26:D27">
    <cfRule type="expression" dxfId="3" priority="11">
      <formula>ABS($B$26-90)/$C$26&gt;3</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v>
      </c>
    </row>
    <row r="2">
      <c r="A2" s="40" t="s">
        <v>39</v>
      </c>
      <c r="B2" s="12"/>
      <c r="C2" s="12"/>
      <c r="D2" s="12"/>
      <c r="E2" s="41"/>
      <c r="F2" s="13"/>
      <c r="H2" s="11" t="s">
        <v>40</v>
      </c>
      <c r="I2" s="12"/>
      <c r="J2" s="12"/>
      <c r="K2" s="12"/>
      <c r="L2" s="12"/>
      <c r="M2" s="13"/>
    </row>
    <row r="3">
      <c r="A3" s="42" t="s">
        <v>41</v>
      </c>
      <c r="E3" s="1"/>
      <c r="F3" s="25"/>
      <c r="H3" s="14" t="s">
        <v>42</v>
      </c>
      <c r="M3" s="25"/>
    </row>
    <row r="4">
      <c r="A4" s="43" t="s">
        <v>43</v>
      </c>
      <c r="E4" s="1"/>
      <c r="F4" s="25"/>
      <c r="H4" s="17"/>
      <c r="I4" s="1" t="str">
        <f>"M92 X"&amp;ROUND(Intro!B4*(SUM('Post-print worksheet'!E4:E7)/3)/100,3)&amp;" Y"&amp;ROUND(Intro!B5*(SUM('Post-print worksheet'!E8:E11)/3)/100,3)</f>
        <v>#DIV/0!</v>
      </c>
      <c r="M4" s="25"/>
    </row>
    <row r="5">
      <c r="A5" s="43" t="str">
        <f>"Length AC = "&amp;ROUND('Post-print worksheet'!E12,2)</f>
        <v>#DIV/0!</v>
      </c>
      <c r="E5" s="1"/>
      <c r="F5" s="25"/>
      <c r="H5" s="14" t="s">
        <v>44</v>
      </c>
      <c r="M5" s="25"/>
    </row>
    <row r="6">
      <c r="A6" s="43" t="str">
        <f>"Length BD = "&amp;ROUND('Post-print worksheet'!E13,2)</f>
        <v>#DIV/0!</v>
      </c>
      <c r="F6" s="25"/>
      <c r="H6" s="14" t="s">
        <v>45</v>
      </c>
      <c r="M6" s="25"/>
    </row>
    <row r="7">
      <c r="A7" s="44" t="str">
        <f>"Length AD = "&amp;ROUND(SUM('Post-print worksheet'!E4:E7)/(3*2*Intro!B3)*SQRT(2),2)</f>
        <v>#DIV/0!</v>
      </c>
      <c r="F7" s="25"/>
      <c r="H7" s="17"/>
      <c r="M7" s="25"/>
    </row>
    <row r="8">
      <c r="A8" s="44"/>
      <c r="F8" s="25"/>
      <c r="H8" s="14" t="s">
        <v>46</v>
      </c>
      <c r="M8" s="25"/>
    </row>
    <row r="9">
      <c r="A9" s="14" t="s">
        <v>47</v>
      </c>
      <c r="F9" s="25"/>
      <c r="H9" s="17"/>
      <c r="M9" s="25"/>
    </row>
    <row r="10">
      <c r="A10" s="14" t="s">
        <v>48</v>
      </c>
      <c r="B10" s="2" t="str">
        <f>Intro!B4*(SUM('Post-print worksheet'!E4:E7)/3)/100</f>
        <v>#DIV/0!</v>
      </c>
      <c r="C10" s="1" t="s">
        <v>49</v>
      </c>
      <c r="F10" s="25"/>
      <c r="H10" s="17"/>
      <c r="M10" s="25"/>
    </row>
    <row r="11">
      <c r="A11" s="37" t="s">
        <v>48</v>
      </c>
      <c r="B11" s="45" t="str">
        <f>Intro!B5*(SUM('Post-print worksheet'!E8:E11)/3)/100</f>
        <v>#DIV/0!</v>
      </c>
      <c r="C11" s="46" t="s">
        <v>50</v>
      </c>
      <c r="D11" s="45"/>
      <c r="E11" s="45"/>
      <c r="F11" s="47"/>
      <c r="H11" s="48"/>
      <c r="I11" s="45"/>
      <c r="J11" s="45"/>
      <c r="K11" s="45"/>
      <c r="L11" s="45"/>
      <c r="M11" s="47"/>
    </row>
  </sheetData>
  <hyperlinks>
    <hyperlink r:id="rId1" ref="A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51</v>
      </c>
    </row>
    <row r="3">
      <c r="B3" s="1" t="s">
        <v>52</v>
      </c>
      <c r="C3" s="1" t="s">
        <v>53</v>
      </c>
      <c r="D3" s="1" t="s">
        <v>54</v>
      </c>
    </row>
    <row r="4">
      <c r="A4" s="1">
        <v>1.0</v>
      </c>
      <c r="B4" s="2">
        <f>COUNT('Post-print worksheet'!B4:D4)</f>
        <v>0</v>
      </c>
      <c r="C4" s="2">
        <f>IF(AND(Intro!$B$7,B4&gt;1),STDEV('Post-print worksheet'!B4:D4),0)</f>
        <v>0</v>
      </c>
      <c r="D4" s="32">
        <f>SQRT((Intro!$B$6/3)^2+C4^2)</f>
        <v>0.003333333333</v>
      </c>
      <c r="E4" s="3"/>
      <c r="F4" s="49"/>
    </row>
    <row r="5">
      <c r="A5" s="1">
        <v>2.0</v>
      </c>
      <c r="B5" s="2">
        <f>COUNT('Post-print worksheet'!B5:D5)</f>
        <v>0</v>
      </c>
      <c r="C5" s="2">
        <f>IF(AND(Intro!$B$7,B5&gt;1),STDEV('Post-print worksheet'!B5:D5),0)</f>
        <v>0</v>
      </c>
      <c r="D5" s="32">
        <f>SQRT((Intro!$B$6/3)^2+C5^2)</f>
        <v>0.003333333333</v>
      </c>
      <c r="E5" s="3"/>
    </row>
    <row r="6">
      <c r="A6" s="1">
        <v>3.0</v>
      </c>
      <c r="B6" s="2">
        <f>COUNT('Post-print worksheet'!B6:D6)</f>
        <v>0</v>
      </c>
      <c r="C6" s="2">
        <f>IF(AND(Intro!$B$7,B6&gt;1),STDEV('Post-print worksheet'!B6:D6),0)</f>
        <v>0</v>
      </c>
      <c r="D6" s="32">
        <f>SQRT((Intro!$B$6/3)^2+C6^2)</f>
        <v>0.003333333333</v>
      </c>
      <c r="E6" s="3"/>
    </row>
    <row r="7">
      <c r="A7" s="1">
        <v>4.0</v>
      </c>
      <c r="B7" s="2">
        <f>COUNT('Post-print worksheet'!B7:D7)</f>
        <v>0</v>
      </c>
      <c r="C7" s="2">
        <f>IF(AND(Intro!$B$7,B7&gt;1),STDEV('Post-print worksheet'!B7:D7),0)</f>
        <v>0</v>
      </c>
      <c r="D7" s="32">
        <f>SQRT((Intro!$B$6/3)^2+C7^2)</f>
        <v>0.003333333333</v>
      </c>
      <c r="E7" s="3"/>
    </row>
    <row r="8">
      <c r="A8" s="1">
        <v>5.0</v>
      </c>
      <c r="B8" s="2">
        <f>COUNT('Post-print worksheet'!B8:D8)</f>
        <v>0</v>
      </c>
      <c r="C8" s="2">
        <f>IF(AND(Intro!$B$7,B8&gt;1),STDEV('Post-print worksheet'!B8:D8),0)</f>
        <v>0</v>
      </c>
      <c r="D8" s="32">
        <f>SQRT((Intro!$B$6/3)^2+C8^2)</f>
        <v>0.003333333333</v>
      </c>
      <c r="E8" s="3"/>
    </row>
    <row r="9">
      <c r="A9" s="1">
        <v>6.0</v>
      </c>
      <c r="B9" s="2">
        <f>COUNT('Post-print worksheet'!B9:D9)</f>
        <v>0</v>
      </c>
      <c r="C9" s="2">
        <f>IF(AND(Intro!$B$7,B9&gt;1),STDEV('Post-print worksheet'!B9:D9),0)</f>
        <v>0</v>
      </c>
      <c r="D9" s="32">
        <f>SQRT((Intro!$B$6/3)^2+C9^2)</f>
        <v>0.003333333333</v>
      </c>
      <c r="E9" s="3"/>
    </row>
    <row r="10">
      <c r="A10" s="1">
        <v>7.0</v>
      </c>
      <c r="B10" s="2">
        <f>COUNT('Post-print worksheet'!B10:D10)</f>
        <v>0</v>
      </c>
      <c r="C10" s="2">
        <f>IF(AND(Intro!$B$7,B10&gt;1),STDEV('Post-print worksheet'!B10:D10),0)</f>
        <v>0</v>
      </c>
      <c r="D10" s="32">
        <f>SQRT((Intro!$B$6/3)^2+C10^2)</f>
        <v>0.003333333333</v>
      </c>
      <c r="E10" s="3"/>
    </row>
    <row r="11">
      <c r="A11" s="1">
        <v>8.0</v>
      </c>
      <c r="B11" s="2">
        <f>COUNT('Post-print worksheet'!B11:D11)</f>
        <v>0</v>
      </c>
      <c r="C11" s="2">
        <f>IF(AND(Intro!$B$7,B11&gt;1),STDEV('Post-print worksheet'!B11:D11),0)</f>
        <v>0</v>
      </c>
      <c r="D11" s="32">
        <f>SQRT((Intro!$B$6/3)^2+C11^2)</f>
        <v>0.003333333333</v>
      </c>
      <c r="E11" s="3"/>
    </row>
    <row r="12">
      <c r="A12" s="1">
        <v>9.0</v>
      </c>
      <c r="B12" s="2">
        <f>COUNT('Post-print worksheet'!B12:D12)</f>
        <v>0</v>
      </c>
      <c r="C12" s="2">
        <f>IF(AND(Intro!$B$7,B12&gt;1),STDEV('Post-print worksheet'!B12:D12),0)</f>
        <v>0</v>
      </c>
      <c r="D12" s="32">
        <f>SQRT((Intro!$B$6/3)^2+C12^2)</f>
        <v>0.003333333333</v>
      </c>
      <c r="E12" s="3"/>
    </row>
    <row r="13">
      <c r="A13" s="1">
        <v>10.0</v>
      </c>
      <c r="B13" s="2">
        <f>COUNT('Post-print worksheet'!B13:D13)</f>
        <v>0</v>
      </c>
      <c r="C13" s="2">
        <f>IF(AND(Intro!$B$7,B13&gt;1),STDEV('Post-print worksheet'!B13:D13),0)</f>
        <v>0</v>
      </c>
      <c r="D13" s="32">
        <f>SQRT((Intro!$B$6/3)^2+C13^2)</f>
        <v>0.003333333333</v>
      </c>
      <c r="E13" s="3"/>
    </row>
    <row r="16">
      <c r="B16" s="1" t="s">
        <v>55</v>
      </c>
      <c r="G16" s="1" t="s">
        <v>56</v>
      </c>
    </row>
    <row r="17">
      <c r="B17" s="1" t="s">
        <v>57</v>
      </c>
      <c r="C17" s="1" t="s">
        <v>58</v>
      </c>
      <c r="D17" s="1" t="s">
        <v>59</v>
      </c>
      <c r="E17" s="1" t="s">
        <v>60</v>
      </c>
      <c r="G17" s="1" t="s">
        <v>61</v>
      </c>
      <c r="H17" s="1" t="s">
        <v>62</v>
      </c>
    </row>
    <row r="18">
      <c r="A18" s="1" t="s">
        <v>63</v>
      </c>
      <c r="B18" s="50" t="str">
        <f>'Post-print worksheet'!E12</f>
        <v>#DIV/0!</v>
      </c>
      <c r="C18" s="50">
        <f t="shared" ref="C18:C19" si="1">D12</f>
        <v>0.003333333333</v>
      </c>
      <c r="D18" s="51" t="str">
        <f>-B18/(2*B20*B21*SIN(B23*PI()/180))</f>
        <v>#DIV/0!</v>
      </c>
      <c r="E18" s="2" t="str">
        <f t="shared" ref="E18:E21" si="2">C18*D18</f>
        <v>#DIV/0!</v>
      </c>
      <c r="F18" s="51"/>
      <c r="G18" s="2">
        <f>1/(4*'Post-print worksheet'!F4)</f>
        <v>0.0025</v>
      </c>
      <c r="H18" s="2">
        <f t="shared" ref="H18:H21" si="3">D4*G18</f>
        <v>0.000008333333333</v>
      </c>
    </row>
    <row r="19">
      <c r="A19" s="1" t="s">
        <v>64</v>
      </c>
      <c r="B19" s="50" t="str">
        <f>'Post-print worksheet'!E13</f>
        <v>#DIV/0!</v>
      </c>
      <c r="C19" s="50">
        <f t="shared" si="1"/>
        <v>0.003333333333</v>
      </c>
      <c r="D19" s="51" t="str">
        <f>B19/(2*B20*B21*SIN(B23*PI()/180))</f>
        <v>#DIV/0!</v>
      </c>
      <c r="E19" s="2" t="str">
        <f t="shared" si="2"/>
        <v>#DIV/0!</v>
      </c>
      <c r="G19" s="2">
        <f>1/(4*'Post-print worksheet'!F5)</f>
        <v>0.005</v>
      </c>
      <c r="H19" s="2">
        <f t="shared" si="3"/>
        <v>0.00001666666667</v>
      </c>
    </row>
    <row r="20">
      <c r="A20" s="1" t="s">
        <v>65</v>
      </c>
      <c r="B20" s="50" t="str">
        <f>SQRT(2)*50*SUM('Post-print worksheet'!E4:E7)/300</f>
        <v>#DIV/0!</v>
      </c>
      <c r="C20" s="50">
        <f>SQRT(2)*50*SQRT(SUMSQ(D4:D7))/300</f>
        <v>0.001571348403</v>
      </c>
      <c r="D20" s="51" t="str">
        <f>(B18^2-B19^2)/(4*B20^2*B21*SIN(B23*PI()/180))</f>
        <v>#DIV/0!</v>
      </c>
      <c r="E20" s="2" t="str">
        <f t="shared" si="2"/>
        <v>#DIV/0!</v>
      </c>
      <c r="G20" s="2">
        <f>1/(4*'Post-print worksheet'!F6)</f>
        <v>0.0025</v>
      </c>
      <c r="H20" s="2">
        <f t="shared" si="3"/>
        <v>0.000008333333333</v>
      </c>
    </row>
    <row r="21">
      <c r="A21" s="1" t="s">
        <v>66</v>
      </c>
      <c r="B21" s="50" t="str">
        <f>SQRT(2)*50*SUM('Post-print worksheet'!E8:E11)/300</f>
        <v>#DIV/0!</v>
      </c>
      <c r="C21" s="50">
        <f>SQRT(2)*50*SQRT(SUMSQ(D8:D11))/300</f>
        <v>0.001571348403</v>
      </c>
      <c r="D21" s="51" t="str">
        <f>(B18^2-B19^2)/(4*B20*B21^2*SIN(B23*PI()/180))</f>
        <v>#DIV/0!</v>
      </c>
      <c r="E21" s="2" t="str">
        <f t="shared" si="2"/>
        <v>#DIV/0!</v>
      </c>
      <c r="G21" s="2">
        <f>1/(4*'Post-print worksheet'!F7)</f>
        <v>0.005</v>
      </c>
      <c r="H21" s="2">
        <f t="shared" si="3"/>
        <v>0.00001666666667</v>
      </c>
    </row>
    <row r="22">
      <c r="A22" s="1" t="s">
        <v>67</v>
      </c>
      <c r="B22" s="51" t="str">
        <f>(B18^2-B19^2)/(4*B20*B21)</f>
        <v>#DIV/0!</v>
      </c>
      <c r="C22" s="51"/>
      <c r="D22" s="51"/>
      <c r="G22" s="1" t="s">
        <v>68</v>
      </c>
      <c r="H22" s="2">
        <f>SQRT(SUMSQ(H18:H21))</f>
        <v>0.00002635231383</v>
      </c>
    </row>
    <row r="23">
      <c r="A23" s="1" t="s">
        <v>69</v>
      </c>
      <c r="B23" s="52" t="str">
        <f>ACOS(B22)*180/PI()</f>
        <v>#DIV/0!</v>
      </c>
      <c r="C23" s="51"/>
      <c r="D23" s="51"/>
      <c r="G23" s="1" t="s">
        <v>70</v>
      </c>
    </row>
    <row r="24">
      <c r="A24" s="1" t="s">
        <v>71</v>
      </c>
      <c r="B24" s="51" t="str">
        <f>B23-90</f>
        <v>#DIV/0!</v>
      </c>
      <c r="C24" s="51"/>
      <c r="D24" s="51"/>
      <c r="G24" s="2">
        <f>1/(4*'Post-print worksheet'!F8)</f>
        <v>0.0025</v>
      </c>
      <c r="H24" s="2">
        <f t="shared" ref="H24:H27" si="4">D8*G24</f>
        <v>0.000008333333333</v>
      </c>
    </row>
    <row r="25">
      <c r="A25" s="1" t="s">
        <v>72</v>
      </c>
      <c r="B25" s="51" t="str">
        <f>SQRT(SUMSQ(E18:E21))*180/PI()</f>
        <v>#DIV/0!</v>
      </c>
      <c r="C25" s="51"/>
      <c r="D25" s="51"/>
      <c r="G25" s="2">
        <f>1/(4*'Post-print worksheet'!F9)</f>
        <v>0.005</v>
      </c>
      <c r="H25" s="2">
        <f t="shared" si="4"/>
        <v>0.00001666666667</v>
      </c>
    </row>
    <row r="26">
      <c r="G26" s="2">
        <f>1/(4*'Post-print worksheet'!F10)</f>
        <v>0.0025</v>
      </c>
      <c r="H26" s="2">
        <f t="shared" si="4"/>
        <v>0.000008333333333</v>
      </c>
    </row>
    <row r="27">
      <c r="G27" s="2">
        <f>1/(4*'Post-print worksheet'!F11)</f>
        <v>0.005</v>
      </c>
      <c r="H27" s="2">
        <f t="shared" si="4"/>
        <v>0.00001666666667</v>
      </c>
    </row>
    <row r="28">
      <c r="G28" s="1" t="s">
        <v>73</v>
      </c>
      <c r="H28" s="2">
        <f>SQRT(SUMSQ(H24:H27))</f>
        <v>0.00002635231383</v>
      </c>
    </row>
  </sheetData>
  <drawing r:id="rId1"/>
</worksheet>
</file>